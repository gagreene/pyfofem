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C:\Users\Owner\PycharmProjects\FOFEM_Tool\Reference_Docs\"/>
    </mc:Choice>
  </mc:AlternateContent>
  <xr:revisionPtr revIDLastSave="0" documentId="13_ncr:1_{2E6A813D-5261-4FF6-9E4E-0C44E127BBEC}" xr6:coauthVersionLast="47" xr6:coauthVersionMax="47" xr10:uidLastSave="{00000000-0000-0000-0000-000000000000}"/>
  <bookViews>
    <workbookView xWindow="28680" yWindow="855" windowWidth="29040" windowHeight="15840" xr2:uid="{B3880DAF-FD0F-42A6-B337-A2174FC1F646}"/>
  </bookViews>
  <sheets>
    <sheet name="FOFEM Consumed Emissions Vars" sheetId="2" r:id="rId1"/>
    <sheet name="FOFEM Mortality Var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2" l="1"/>
  <c r="L3" i="2"/>
  <c r="K4" i="2"/>
  <c r="L4" i="2"/>
  <c r="K5" i="2"/>
  <c r="K6" i="2"/>
  <c r="L6" i="2"/>
  <c r="K7" i="2"/>
  <c r="L7" i="2"/>
  <c r="K8" i="2"/>
  <c r="L8" i="2"/>
  <c r="K9" i="2"/>
  <c r="L2" i="2"/>
  <c r="K2" i="2"/>
</calcChain>
</file>

<file path=xl/sharedStrings.xml><?xml version="1.0" encoding="utf-8"?>
<sst xmlns="http://schemas.openxmlformats.org/spreadsheetml/2006/main" count="133" uniqueCount="115">
  <si>
    <t xml:space="preserve">Column No. </t>
  </si>
  <si>
    <t xml:space="preserve">Field Name </t>
  </si>
  <si>
    <t xml:space="preserve">Description </t>
  </si>
  <si>
    <t xml:space="preserve">Plot Id </t>
  </si>
  <si>
    <r>
      <t xml:space="preserve">Text or numeric, this field can be entered with or without delimiting double quote marks unless there are embedded blank characters, which require quotes. To avoid needing quotes, use underscores or hyphens. E.g., </t>
    </r>
    <r>
      <rPr>
        <i/>
        <sz val="11"/>
        <color rgb="FF000000"/>
        <rFont val="Calibri"/>
        <family val="2"/>
        <scheme val="minor"/>
      </rPr>
      <t xml:space="preserve">Ridge_1 </t>
    </r>
    <r>
      <rPr>
        <sz val="11"/>
        <color rgb="FF000000"/>
        <rFont val="Calibri"/>
        <family val="2"/>
        <scheme val="minor"/>
      </rPr>
      <t xml:space="preserve">or </t>
    </r>
    <r>
      <rPr>
        <i/>
        <sz val="11"/>
        <color rgb="FF000000"/>
        <rFont val="Calibri"/>
        <family val="2"/>
        <scheme val="minor"/>
      </rPr>
      <t xml:space="preserve">Ridge-1 </t>
    </r>
    <r>
      <rPr>
        <sz val="11"/>
        <color rgb="FF000000"/>
        <rFont val="Calibri"/>
        <family val="2"/>
        <scheme val="minor"/>
      </rPr>
      <t xml:space="preserve">instead of </t>
    </r>
    <r>
      <rPr>
        <i/>
        <sz val="11"/>
        <color rgb="FF000000"/>
        <rFont val="Calibri"/>
        <family val="2"/>
        <scheme val="minor"/>
      </rPr>
      <t xml:space="preserve">“Ridge 1”. </t>
    </r>
  </si>
  <si>
    <t xml:space="preserve">Litter </t>
  </si>
  <si>
    <t xml:space="preserve">Litter fuel load (T/ac) </t>
  </si>
  <si>
    <t xml:space="preserve">1 Hour </t>
  </si>
  <si>
    <t xml:space="preserve">Loading of 0 – ¼ in. fuels (T/ac) </t>
  </si>
  <si>
    <t xml:space="preserve">10 Hour </t>
  </si>
  <si>
    <t xml:space="preserve">Loading of the ¼ - 1 in. fuels (T/ac) </t>
  </si>
  <si>
    <t xml:space="preserve">10 Hour Moisture </t>
  </si>
  <si>
    <t xml:space="preserve">Moisture of the 10 hour fuels; range: 3 - 298% </t>
  </si>
  <si>
    <t xml:space="preserve">100 Hour </t>
  </si>
  <si>
    <t xml:space="preserve">Loading of the 1 – 3 in. fuels (T/ac) </t>
  </si>
  <si>
    <t xml:space="preserve">1000 Hour1 </t>
  </si>
  <si>
    <t xml:space="preserve">Loading of the greater than 3 in. fuels (T/ac) </t>
  </si>
  <si>
    <t xml:space="preserve">1000 Hour Moisture </t>
  </si>
  <si>
    <t xml:space="preserve">Moisture of the 1000 hour fuels; range: 1 - 300% </t>
  </si>
  <si>
    <t xml:space="preserve">1000 Hour Percent Rotten </t>
  </si>
  <si>
    <t xml:space="preserve">Percent of 1000 hour load that is rotten, expresses as a whole number; range 0 - 100% </t>
  </si>
  <si>
    <t xml:space="preserve">1000 Hour Weight Distribution2 </t>
  </si>
  <si>
    <t xml:space="preserve">Defines how the 1000 hour fuel is distributed into size classes; “Even”, “Right”, “Left”, “End”, “Center” </t>
  </si>
  <si>
    <t xml:space="preserve">Duff </t>
  </si>
  <si>
    <t xml:space="preserve">Duff Loading; range 0 - 356.79 T/ac. </t>
  </si>
  <si>
    <t xml:space="preserve">NOTE: if duff loading is 0 then duff depth must be 0 </t>
  </si>
  <si>
    <t xml:space="preserve">Duff Moisture </t>
  </si>
  <si>
    <t xml:space="preserve">Duff moisture; range 10 - 197.2% </t>
  </si>
  <si>
    <t xml:space="preserve">Duff Depth </t>
  </si>
  <si>
    <t xml:space="preserve">Duff Depth, inches; range 0 – 999 in. </t>
  </si>
  <si>
    <t xml:space="preserve">NOTE: if duff depth is 0 then duff loading must be 0 </t>
  </si>
  <si>
    <t xml:space="preserve">Duff Moisture Method3 </t>
  </si>
  <si>
    <t xml:space="preserve">The method used to measure duff moisture; “Entire”, “Lower”, “NFDR”, “Adj_NFDR” </t>
  </si>
  <si>
    <t xml:space="preserve">Herbaceous </t>
  </si>
  <si>
    <t xml:space="preserve">Herbaceous fuel load (T/ac) </t>
  </si>
  <si>
    <t xml:space="preserve">Shrub </t>
  </si>
  <si>
    <t xml:space="preserve">Shrub fuel load (T/ac) </t>
  </si>
  <si>
    <t xml:space="preserve">Crown Foliage </t>
  </si>
  <si>
    <t xml:space="preserve">Crown Foliage fuel load (T/ac) </t>
  </si>
  <si>
    <t xml:space="preserve">Crown Branch </t>
  </si>
  <si>
    <t xml:space="preserve">Crown Branch fuel load (T/ac) </t>
  </si>
  <si>
    <t xml:space="preserve">Percent of Crown Burn </t>
  </si>
  <si>
    <t xml:space="preserve">Percent of crown that will burn, expressed as a whole number; range 1 – 100% </t>
  </si>
  <si>
    <t xml:space="preserve">Region </t>
  </si>
  <si>
    <t xml:space="preserve">“InteriorWest”, “PacificWest”, “NorthEast”, “SouthEast” </t>
  </si>
  <si>
    <t xml:space="preserve">Cover Group </t>
  </si>
  <si>
    <t xml:space="preserve">See the Setting Cover Groups section below </t>
  </si>
  <si>
    <t xml:space="preserve">Season </t>
  </si>
  <si>
    <t xml:space="preserve">“Spring”, “Summer”, “Fall”, “Winter” </t>
  </si>
  <si>
    <t xml:space="preserve">Fuel Category </t>
  </si>
  <si>
    <t xml:space="preserve">“Natural”, “Piles”, “Slash” </t>
  </si>
  <si>
    <t xml:space="preserve">Soil Family </t>
  </si>
  <si>
    <t xml:space="preserve">“Loamy-Skeletal”, “Fine-Silt”, “Fine”, “Coarse-Silt”, “Coarse-Loamy” Use “NA” to indicate none available, in which case no soil heating will be calculated for the record </t>
  </si>
  <si>
    <t xml:space="preserve">Soil Moisture </t>
  </si>
  <si>
    <t xml:space="preserve">Soil Moisture; range 0 – 25% </t>
  </si>
  <si>
    <t xml:space="preserve">3 – &lt;6 in. sound (T/ac) </t>
  </si>
  <si>
    <t xml:space="preserve">6 – &lt;9 in. sound (T/ac) </t>
  </si>
  <si>
    <t xml:space="preserve">9 – &lt;20 in. sound (T/ac) </t>
  </si>
  <si>
    <t xml:space="preserve">20 + in. sound (T/ac) </t>
  </si>
  <si>
    <t xml:space="preserve">3 – &lt;6 in. rotten (T/ac) </t>
  </si>
  <si>
    <t xml:space="preserve">6 – &lt;9 in. rotten (T/ac) </t>
  </si>
  <si>
    <t xml:space="preserve">9 – &lt;20 in. s rotten (T/ac) </t>
  </si>
  <si>
    <t xml:space="preserve">20 + in. rotten (T/ac) </t>
  </si>
  <si>
    <t xml:space="preserve">1000 Hour fuel moisture (%) </t>
  </si>
  <si>
    <t>cm</t>
  </si>
  <si>
    <t xml:space="preserve">Require for Equation Type </t>
  </si>
  <si>
    <t xml:space="preserve">Plot ID </t>
  </si>
  <si>
    <t xml:space="preserve">All </t>
  </si>
  <si>
    <t xml:space="preserve">Monitoring Status </t>
  </si>
  <si>
    <t xml:space="preserve">FFI Monitoring Status </t>
  </si>
  <si>
    <t xml:space="preserve">Not Required </t>
  </si>
  <si>
    <t xml:space="preserve">Monitoring Status order Number </t>
  </si>
  <si>
    <t xml:space="preserve">FFI Monitoring Status Order Number </t>
  </si>
  <si>
    <t xml:space="preserve">Tree Species </t>
  </si>
  <si>
    <t xml:space="preserve">NRCS tree species code. See the fof_spp.csv file for a complete list of valid codes. The file can be found in the FOFEM install directory, be careful not alter file in any way. </t>
  </si>
  <si>
    <t xml:space="preserve">Tree Expansion Factor </t>
  </si>
  <si>
    <t xml:space="preserve">Stand Density (Trees per acre) </t>
  </si>
  <si>
    <t xml:space="preserve">Diameter </t>
  </si>
  <si>
    <t xml:space="preserve">Diameter Breast Height (in.) </t>
  </si>
  <si>
    <t xml:space="preserve">CRNSCH, BOLCHR </t>
  </si>
  <si>
    <t xml:space="preserve">Tree Height </t>
  </si>
  <si>
    <t xml:space="preserve">Tree Height (ft) </t>
  </si>
  <si>
    <t xml:space="preserve">CRNSCH </t>
  </si>
  <si>
    <t xml:space="preserve">Crown base Height </t>
  </si>
  <si>
    <t xml:space="preserve">Live crown base height </t>
  </si>
  <si>
    <t xml:space="preserve">Tree Status </t>
  </si>
  <si>
    <t xml:space="preserve">Live (L), Healthy (H), Unhealthy (U), Sick (S), Dead (D) </t>
  </si>
  <si>
    <t xml:space="preserve">Not required. Records where Tree Status is coded “D” are ignored </t>
  </si>
  <si>
    <t xml:space="preserve">Crown Class </t>
  </si>
  <si>
    <t xml:space="preserve">Dominant (D), Codominant (C), Intermediate (I), Suppressed (S), Open grown (O), Emergent (E) </t>
  </si>
  <si>
    <t xml:space="preserve">Not required </t>
  </si>
  <si>
    <t xml:space="preserve">Crown Ratio </t>
  </si>
  <si>
    <t xml:space="preserve">Crown Ratio; range 1 – 1001 </t>
  </si>
  <si>
    <t xml:space="preserve">Char Height </t>
  </si>
  <si>
    <t xml:space="preserve">Maximum bole char height (ft) </t>
  </si>
  <si>
    <t xml:space="preserve">BOLCHR </t>
  </si>
  <si>
    <t xml:space="preserve">Crown Damage Percent </t>
  </si>
  <si>
    <t xml:space="preserve">Crown scorch or crown kill percent </t>
  </si>
  <si>
    <t xml:space="preserve">CRCABE </t>
  </si>
  <si>
    <t xml:space="preserve">Crown Scorch Height </t>
  </si>
  <si>
    <t xml:space="preserve">Crown scorch height </t>
  </si>
  <si>
    <t xml:space="preserve">Cambium Kill Rating </t>
  </si>
  <si>
    <t xml:space="preserve">Cambium condition at ground line in four quadrants of tree bole (0 – 4) </t>
  </si>
  <si>
    <t xml:space="preserve">Beetle damage </t>
  </si>
  <si>
    <t xml:space="preserve">Evidence of beetle damage (Y, N) </t>
  </si>
  <si>
    <t xml:space="preserve">Equation Type </t>
  </si>
  <si>
    <t xml:space="preserve">Mortality equation type (CRNSCH, CRCABE, BOLCHR) </t>
  </si>
  <si>
    <r>
      <t>Flame Length or Scorch Height</t>
    </r>
    <r>
      <rPr>
        <sz val="7"/>
        <color rgb="FF000000"/>
        <rFont val="Calibri"/>
        <family val="2"/>
        <scheme val="minor"/>
      </rPr>
      <t xml:space="preserve">2 </t>
    </r>
  </si>
  <si>
    <t xml:space="preserve">You can enter a flame length or a scorch height (ft) </t>
  </si>
  <si>
    <t xml:space="preserve">Col 1 Identifier2 </t>
  </si>
  <si>
    <t xml:space="preserve">Text. Enter “F” to specify you are using Flame Length in Column 7 or “S” for scorch height. </t>
  </si>
  <si>
    <t xml:space="preserve">Fire Severity </t>
  </si>
  <si>
    <t xml:space="preserve">Text, "Low" for low or leave blank "" </t>
  </si>
  <si>
    <r>
      <t>#1k-SizeClass</t>
    </r>
    <r>
      <rPr>
        <sz val="11"/>
        <color rgb="FF000000"/>
        <rFont val="Calibri"/>
        <family val="2"/>
        <scheme val="minor"/>
      </rPr>
      <t xml:space="preserve">: This switch specifies down woody fuels greater than 3 inches in diameter (1000-hour fuels) are entered in size classes. Replace columns 7 thru 10 described in </t>
    </r>
    <r>
      <rPr>
        <sz val="11"/>
        <color rgb="FF0000FF"/>
        <rFont val="Calibri"/>
        <family val="2"/>
        <scheme val="minor"/>
      </rPr>
      <t xml:space="preserve">Batch File Description table </t>
    </r>
    <r>
      <rPr>
        <sz val="11"/>
        <color rgb="FF000000"/>
        <rFont val="Calibri"/>
        <family val="2"/>
        <scheme val="minor"/>
      </rPr>
      <t xml:space="preserve">with the nine columns in the table to the right. Then enter Duff in column 16 followed by the remaining data described in the Batch File Description table (i.e., duff, duff moisture, duff depth…). </t>
    </r>
  </si>
  <si>
    <t>FOF_GUI S C:\Users\Owner\OneDrive\Public\UBC_FuelsProject\Survey123_Data\_Results\fofemConsumedEmissionsDF.csv C:\Users\Owner\OneDrive\Public\UBC_FuelsProject\Survey123_Data\_Results\fofemConsumedEmissionsDF-Out.csv C:\Users\Owner\OneDrive\Public\UBC_FuelsProject\Survey123_Data\_Results\fofemConsumedEmissionsDF-Err.txt 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</si>
</sst>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000000"/>
      <name val="Calibri"/>
      <family val="2"/>
      <scheme val="minor"/>
    </font>
    <font>
      <sz val="11"/>
      <color rgb="FF000000"/>
      <name val="Calibri"/>
      <family val="2"/>
      <scheme val="minor"/>
    </font>
    <font>
      <i/>
      <sz val="11"/>
      <color rgb="FF000000"/>
      <name val="Calibri"/>
      <family val="2"/>
      <scheme val="minor"/>
    </font>
    <font>
      <sz val="11"/>
      <color rgb="FF0000FF"/>
      <name val="Calibri"/>
      <family val="2"/>
      <scheme val="minor"/>
    </font>
    <font>
      <sz val="7"/>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9">
    <xf numFmtId="0" fontId="0" fillId="0" borderId="0" xfId="0"/>
    <xf numFmtId="0" fontId="1" fillId="0" borderId="3" xfId="0" applyFont="1" applyBorder="1" applyAlignment="1">
      <alignment vertical="center" wrapText="1"/>
    </xf>
    <xf numFmtId="0" fontId="3" fillId="0" borderId="4" xfId="0" applyFont="1" applyBorder="1" applyAlignment="1">
      <alignment vertical="center" wrapText="1"/>
    </xf>
    <xf numFmtId="0" fontId="3" fillId="0" borderId="0" xfId="0" applyFont="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1" fillId="0" borderId="2" xfId="0" applyFont="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2" fillId="2" borderId="4" xfId="0" applyFont="1" applyFill="1" applyBorder="1" applyAlignment="1">
      <alignment vertical="center" wrapText="1"/>
    </xf>
    <xf numFmtId="0" fontId="2" fillId="2" borderId="0" xfId="0" applyFont="1" applyFill="1" applyAlignment="1">
      <alignment vertical="center"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8" xfId="0" applyFont="1" applyFill="1" applyBorder="1" applyAlignment="1">
      <alignment vertical="center" wrapText="1"/>
    </xf>
    <xf numFmtId="0" fontId="2" fillId="0" borderId="0" xfId="0" applyFont="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2" fillId="0" borderId="5" xfId="0" applyFont="1" applyBorder="1" applyAlignment="1">
      <alignment horizontal="left" vertical="center" wrapText="1"/>
    </xf>
    <xf numFmtId="0" fontId="2" fillId="0" borderId="8" xfId="0" applyFont="1" applyBorder="1" applyAlignment="1">
      <alignment horizontal="left" vertical="center" wrapText="1"/>
    </xf>
    <xf numFmtId="0" fontId="1" fillId="0" borderId="0" xfId="0" applyFont="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2" fillId="2" borderId="0" xfId="0" applyFont="1" applyFill="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6252-C762-4C39-98F4-4A5FAE262913}">
  <dimension ref="A1:L28"/>
  <sheetViews>
    <sheetView tabSelected="1" workbookViewId="0">
      <selection activeCell="E13" sqref="E13"/>
    </sheetView>
  </sheetViews>
  <sheetFormatPr defaultRowHeight="15" x14ac:dyDescent="0.25"/>
  <cols>
    <col min="1" max="1" width="11.42578125" bestFit="1" customWidth="1"/>
    <col min="2" max="2" width="29.140625" bestFit="1" customWidth="1"/>
    <col min="3" max="3" width="78.42578125" customWidth="1"/>
    <col min="5" max="5" width="32.5703125" customWidth="1"/>
    <col min="6" max="6" width="59.85546875" customWidth="1"/>
    <col min="7" max="7" width="11.42578125" bestFit="1" customWidth="1"/>
    <col min="8" max="8" width="26.140625" bestFit="1" customWidth="1"/>
  </cols>
  <sheetData>
    <row r="1" spans="1:12" ht="15" customHeight="1" x14ac:dyDescent="0.25">
      <c r="A1" s="7" t="s">
        <v>0</v>
      </c>
      <c r="B1" s="8" t="s">
        <v>1</v>
      </c>
      <c r="C1" s="9" t="s">
        <v>2</v>
      </c>
      <c r="E1" s="25" t="s">
        <v>113</v>
      </c>
      <c r="F1" s="26"/>
      <c r="G1" s="6" t="s">
        <v>0</v>
      </c>
      <c r="H1" s="1" t="s">
        <v>2</v>
      </c>
      <c r="I1" t="s">
        <v>64</v>
      </c>
    </row>
    <row r="2" spans="1:12" ht="60" x14ac:dyDescent="0.25">
      <c r="A2" s="10">
        <v>1</v>
      </c>
      <c r="B2" s="11" t="s">
        <v>3</v>
      </c>
      <c r="C2" s="12" t="s">
        <v>4</v>
      </c>
      <c r="E2" s="27"/>
      <c r="F2" s="28"/>
      <c r="G2" s="18">
        <v>7</v>
      </c>
      <c r="H2" s="19" t="s">
        <v>55</v>
      </c>
      <c r="I2">
        <v>3</v>
      </c>
      <c r="J2">
        <v>6</v>
      </c>
      <c r="K2">
        <f>I2*2.54</f>
        <v>7.62</v>
      </c>
      <c r="L2">
        <f>J2*2.54</f>
        <v>15.24</v>
      </c>
    </row>
    <row r="3" spans="1:12" x14ac:dyDescent="0.25">
      <c r="A3" s="10">
        <v>2</v>
      </c>
      <c r="B3" s="11" t="s">
        <v>5</v>
      </c>
      <c r="C3" s="12" t="s">
        <v>6</v>
      </c>
      <c r="E3" s="2"/>
      <c r="F3" s="3"/>
      <c r="G3" s="16">
        <v>8</v>
      </c>
      <c r="H3" s="19" t="s">
        <v>56</v>
      </c>
      <c r="I3">
        <v>6</v>
      </c>
      <c r="J3">
        <v>9</v>
      </c>
      <c r="K3">
        <f t="shared" ref="K3:K9" si="0">I3*2.54</f>
        <v>15.24</v>
      </c>
      <c r="L3">
        <f t="shared" ref="L3:L8" si="1">J3*2.54</f>
        <v>22.86</v>
      </c>
    </row>
    <row r="4" spans="1:12" x14ac:dyDescent="0.25">
      <c r="A4" s="10">
        <v>3</v>
      </c>
      <c r="B4" s="11" t="s">
        <v>7</v>
      </c>
      <c r="C4" s="12" t="s">
        <v>8</v>
      </c>
      <c r="E4" s="2"/>
      <c r="F4" s="3"/>
      <c r="G4" s="16">
        <v>9</v>
      </c>
      <c r="H4" s="19" t="s">
        <v>57</v>
      </c>
      <c r="I4">
        <v>9</v>
      </c>
      <c r="J4">
        <v>20</v>
      </c>
      <c r="K4">
        <f t="shared" si="0"/>
        <v>22.86</v>
      </c>
      <c r="L4">
        <f t="shared" si="1"/>
        <v>50.8</v>
      </c>
    </row>
    <row r="5" spans="1:12" x14ac:dyDescent="0.25">
      <c r="A5" s="10">
        <v>4</v>
      </c>
      <c r="B5" s="11" t="s">
        <v>9</v>
      </c>
      <c r="C5" s="12" t="s">
        <v>10</v>
      </c>
      <c r="E5" s="2"/>
      <c r="F5" s="3"/>
      <c r="G5" s="16">
        <v>10</v>
      </c>
      <c r="H5" s="19" t="s">
        <v>58</v>
      </c>
      <c r="I5">
        <v>20</v>
      </c>
      <c r="K5">
        <f t="shared" si="0"/>
        <v>50.8</v>
      </c>
    </row>
    <row r="6" spans="1:12" x14ac:dyDescent="0.25">
      <c r="A6" s="10">
        <v>5</v>
      </c>
      <c r="B6" s="11" t="s">
        <v>11</v>
      </c>
      <c r="C6" s="12" t="s">
        <v>12</v>
      </c>
      <c r="E6" s="2"/>
      <c r="F6" s="3"/>
      <c r="G6" s="16">
        <v>11</v>
      </c>
      <c r="H6" s="19" t="s">
        <v>59</v>
      </c>
      <c r="I6">
        <v>3</v>
      </c>
      <c r="J6">
        <v>6</v>
      </c>
      <c r="K6">
        <f t="shared" si="0"/>
        <v>7.62</v>
      </c>
      <c r="L6">
        <f t="shared" si="1"/>
        <v>15.24</v>
      </c>
    </row>
    <row r="7" spans="1:12" x14ac:dyDescent="0.25">
      <c r="A7" s="10">
        <v>6</v>
      </c>
      <c r="B7" s="11" t="s">
        <v>13</v>
      </c>
      <c r="C7" s="12" t="s">
        <v>14</v>
      </c>
      <c r="E7" s="2"/>
      <c r="F7" s="3"/>
      <c r="G7" s="16">
        <v>12</v>
      </c>
      <c r="H7" s="19" t="s">
        <v>60</v>
      </c>
      <c r="I7">
        <v>6</v>
      </c>
      <c r="J7">
        <v>9</v>
      </c>
      <c r="K7">
        <f t="shared" si="0"/>
        <v>15.24</v>
      </c>
      <c r="L7">
        <f t="shared" si="1"/>
        <v>22.86</v>
      </c>
    </row>
    <row r="8" spans="1:12" x14ac:dyDescent="0.25">
      <c r="A8" s="10">
        <v>7</v>
      </c>
      <c r="B8" s="11" t="s">
        <v>15</v>
      </c>
      <c r="C8" s="12" t="s">
        <v>16</v>
      </c>
      <c r="E8" s="2"/>
      <c r="F8" s="3"/>
      <c r="G8" s="16">
        <v>13</v>
      </c>
      <c r="H8" s="19" t="s">
        <v>61</v>
      </c>
      <c r="I8">
        <v>9</v>
      </c>
      <c r="J8">
        <v>20</v>
      </c>
      <c r="K8">
        <f t="shared" si="0"/>
        <v>22.86</v>
      </c>
      <c r="L8">
        <f t="shared" si="1"/>
        <v>50.8</v>
      </c>
    </row>
    <row r="9" spans="1:12" x14ac:dyDescent="0.25">
      <c r="A9" s="10">
        <v>8</v>
      </c>
      <c r="B9" s="11" t="s">
        <v>17</v>
      </c>
      <c r="C9" s="12" t="s">
        <v>18</v>
      </c>
      <c r="E9" s="2"/>
      <c r="F9" s="3"/>
      <c r="G9" s="16">
        <v>14</v>
      </c>
      <c r="H9" s="19" t="s">
        <v>62</v>
      </c>
      <c r="I9">
        <v>20</v>
      </c>
      <c r="K9">
        <f t="shared" si="0"/>
        <v>50.8</v>
      </c>
    </row>
    <row r="10" spans="1:12" ht="15.75" thickBot="1" x14ac:dyDescent="0.3">
      <c r="A10" s="10">
        <v>9</v>
      </c>
      <c r="B10" s="11" t="s">
        <v>19</v>
      </c>
      <c r="C10" s="12" t="s">
        <v>20</v>
      </c>
      <c r="E10" s="4"/>
      <c r="F10" s="5"/>
      <c r="G10" s="17">
        <v>15</v>
      </c>
      <c r="H10" s="20" t="s">
        <v>63</v>
      </c>
    </row>
    <row r="11" spans="1:12" ht="30" x14ac:dyDescent="0.25">
      <c r="A11" s="10">
        <v>10</v>
      </c>
      <c r="B11" s="11" t="s">
        <v>21</v>
      </c>
      <c r="C11" s="12" t="s">
        <v>22</v>
      </c>
    </row>
    <row r="12" spans="1:12" x14ac:dyDescent="0.25">
      <c r="A12" s="23">
        <v>11</v>
      </c>
      <c r="B12" s="24" t="s">
        <v>23</v>
      </c>
      <c r="C12" s="12" t="s">
        <v>24</v>
      </c>
    </row>
    <row r="13" spans="1:12" x14ac:dyDescent="0.25">
      <c r="A13" s="23"/>
      <c r="B13" s="24"/>
      <c r="C13" s="12" t="s">
        <v>25</v>
      </c>
      <c r="E13" t="s">
        <v>114</v>
      </c>
    </row>
    <row r="14" spans="1:12" x14ac:dyDescent="0.25">
      <c r="A14" s="10">
        <v>12</v>
      </c>
      <c r="B14" s="11" t="s">
        <v>26</v>
      </c>
      <c r="C14" s="12" t="s">
        <v>27</v>
      </c>
    </row>
    <row r="15" spans="1:12" x14ac:dyDescent="0.25">
      <c r="A15" s="23">
        <v>13</v>
      </c>
      <c r="B15" s="24" t="s">
        <v>28</v>
      </c>
      <c r="C15" s="12" t="s">
        <v>29</v>
      </c>
    </row>
    <row r="16" spans="1:12" x14ac:dyDescent="0.25">
      <c r="A16" s="23"/>
      <c r="B16" s="24"/>
      <c r="C16" s="12" t="s">
        <v>30</v>
      </c>
    </row>
    <row r="17" spans="1:3" x14ac:dyDescent="0.25">
      <c r="A17" s="10">
        <v>14</v>
      </c>
      <c r="B17" s="11" t="s">
        <v>31</v>
      </c>
      <c r="C17" s="12" t="s">
        <v>32</v>
      </c>
    </row>
    <row r="18" spans="1:3" x14ac:dyDescent="0.25">
      <c r="A18" s="10">
        <v>15</v>
      </c>
      <c r="B18" s="11" t="s">
        <v>33</v>
      </c>
      <c r="C18" s="12" t="s">
        <v>34</v>
      </c>
    </row>
    <row r="19" spans="1:3" x14ac:dyDescent="0.25">
      <c r="A19" s="10">
        <v>16</v>
      </c>
      <c r="B19" s="11" t="s">
        <v>35</v>
      </c>
      <c r="C19" s="12" t="s">
        <v>36</v>
      </c>
    </row>
    <row r="20" spans="1:3" x14ac:dyDescent="0.25">
      <c r="A20" s="10">
        <v>17</v>
      </c>
      <c r="B20" s="11" t="s">
        <v>37</v>
      </c>
      <c r="C20" s="12" t="s">
        <v>38</v>
      </c>
    </row>
    <row r="21" spans="1:3" x14ac:dyDescent="0.25">
      <c r="A21" s="10">
        <v>18</v>
      </c>
      <c r="B21" s="11" t="s">
        <v>39</v>
      </c>
      <c r="C21" s="12" t="s">
        <v>40</v>
      </c>
    </row>
    <row r="22" spans="1:3" x14ac:dyDescent="0.25">
      <c r="A22" s="10">
        <v>19</v>
      </c>
      <c r="B22" s="11" t="s">
        <v>41</v>
      </c>
      <c r="C22" s="12" t="s">
        <v>42</v>
      </c>
    </row>
    <row r="23" spans="1:3" x14ac:dyDescent="0.25">
      <c r="A23" s="10">
        <v>20</v>
      </c>
      <c r="B23" s="11" t="s">
        <v>43</v>
      </c>
      <c r="C23" s="12" t="s">
        <v>44</v>
      </c>
    </row>
    <row r="24" spans="1:3" x14ac:dyDescent="0.25">
      <c r="A24" s="10">
        <v>21</v>
      </c>
      <c r="B24" s="11" t="s">
        <v>45</v>
      </c>
      <c r="C24" s="12" t="s">
        <v>46</v>
      </c>
    </row>
    <row r="25" spans="1:3" x14ac:dyDescent="0.25">
      <c r="A25" s="10">
        <v>22</v>
      </c>
      <c r="B25" s="11" t="s">
        <v>47</v>
      </c>
      <c r="C25" s="12" t="s">
        <v>48</v>
      </c>
    </row>
    <row r="26" spans="1:3" x14ac:dyDescent="0.25">
      <c r="A26" s="10">
        <v>23</v>
      </c>
      <c r="B26" s="11" t="s">
        <v>49</v>
      </c>
      <c r="C26" s="12" t="s">
        <v>50</v>
      </c>
    </row>
    <row r="27" spans="1:3" ht="30" x14ac:dyDescent="0.25">
      <c r="A27" s="10">
        <v>244</v>
      </c>
      <c r="B27" s="11" t="s">
        <v>51</v>
      </c>
      <c r="C27" s="12" t="s">
        <v>52</v>
      </c>
    </row>
    <row r="28" spans="1:3" ht="15.75" thickBot="1" x14ac:dyDescent="0.3">
      <c r="A28" s="13">
        <v>254</v>
      </c>
      <c r="B28" s="14" t="s">
        <v>53</v>
      </c>
      <c r="C28" s="15" t="s">
        <v>54</v>
      </c>
    </row>
  </sheetData>
  <mergeCells count="5">
    <mergeCell ref="A12:A13"/>
    <mergeCell ref="B12:B13"/>
    <mergeCell ref="A15:A16"/>
    <mergeCell ref="B15:B16"/>
    <mergeCell ref="E1:F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0E0D8-77AE-409C-9459-C452AE72728C}">
  <dimension ref="A1:D21"/>
  <sheetViews>
    <sheetView workbookViewId="0"/>
  </sheetViews>
  <sheetFormatPr defaultRowHeight="15" x14ac:dyDescent="0.25"/>
  <cols>
    <col min="1" max="1" width="11.42578125" bestFit="1" customWidth="1"/>
    <col min="2" max="2" width="30.42578125" bestFit="1" customWidth="1"/>
    <col min="3" max="3" width="97.5703125" customWidth="1"/>
    <col min="4" max="4" width="39.7109375" bestFit="1" customWidth="1"/>
  </cols>
  <sheetData>
    <row r="1" spans="1:4" x14ac:dyDescent="0.25">
      <c r="A1" s="21" t="s">
        <v>0</v>
      </c>
      <c r="B1" s="21" t="s">
        <v>1</v>
      </c>
      <c r="C1" s="21" t="s">
        <v>2</v>
      </c>
      <c r="D1" s="21" t="s">
        <v>65</v>
      </c>
    </row>
    <row r="2" spans="1:4" ht="45" x14ac:dyDescent="0.25">
      <c r="A2" s="22">
        <v>1</v>
      </c>
      <c r="B2" s="22" t="s">
        <v>66</v>
      </c>
      <c r="C2" s="22" t="s">
        <v>4</v>
      </c>
      <c r="D2" s="22" t="s">
        <v>67</v>
      </c>
    </row>
    <row r="3" spans="1:4" x14ac:dyDescent="0.25">
      <c r="A3" s="22">
        <v>2</v>
      </c>
      <c r="B3" s="22" t="s">
        <v>68</v>
      </c>
      <c r="C3" s="22" t="s">
        <v>69</v>
      </c>
      <c r="D3" s="22" t="s">
        <v>70</v>
      </c>
    </row>
    <row r="4" spans="1:4" x14ac:dyDescent="0.25">
      <c r="A4" s="22">
        <v>3</v>
      </c>
      <c r="B4" s="22" t="s">
        <v>71</v>
      </c>
      <c r="C4" s="22" t="s">
        <v>72</v>
      </c>
      <c r="D4" s="22" t="s">
        <v>70</v>
      </c>
    </row>
    <row r="5" spans="1:4" ht="30" x14ac:dyDescent="0.25">
      <c r="A5" s="22">
        <v>4</v>
      </c>
      <c r="B5" s="22" t="s">
        <v>73</v>
      </c>
      <c r="C5" s="22" t="s">
        <v>74</v>
      </c>
      <c r="D5" s="22" t="s">
        <v>67</v>
      </c>
    </row>
    <row r="6" spans="1:4" x14ac:dyDescent="0.25">
      <c r="A6" s="22">
        <v>5</v>
      </c>
      <c r="B6" s="22" t="s">
        <v>75</v>
      </c>
      <c r="C6" s="22" t="s">
        <v>76</v>
      </c>
      <c r="D6" s="22" t="s">
        <v>67</v>
      </c>
    </row>
    <row r="7" spans="1:4" x14ac:dyDescent="0.25">
      <c r="A7" s="22">
        <v>6</v>
      </c>
      <c r="B7" s="22" t="s">
        <v>77</v>
      </c>
      <c r="C7" s="22" t="s">
        <v>78</v>
      </c>
      <c r="D7" s="22" t="s">
        <v>79</v>
      </c>
    </row>
    <row r="8" spans="1:4" x14ac:dyDescent="0.25">
      <c r="A8" s="22">
        <v>7</v>
      </c>
      <c r="B8" s="22" t="s">
        <v>80</v>
      </c>
      <c r="C8" s="22" t="s">
        <v>81</v>
      </c>
      <c r="D8" s="22" t="s">
        <v>82</v>
      </c>
    </row>
    <row r="9" spans="1:4" x14ac:dyDescent="0.25">
      <c r="A9" s="22">
        <v>8</v>
      </c>
      <c r="B9" s="22" t="s">
        <v>83</v>
      </c>
      <c r="C9" s="22" t="s">
        <v>84</v>
      </c>
      <c r="D9" s="22" t="s">
        <v>82</v>
      </c>
    </row>
    <row r="10" spans="1:4" ht="30" x14ac:dyDescent="0.25">
      <c r="A10" s="22">
        <v>9</v>
      </c>
      <c r="B10" s="22" t="s">
        <v>85</v>
      </c>
      <c r="C10" s="22" t="s">
        <v>86</v>
      </c>
      <c r="D10" s="22" t="s">
        <v>87</v>
      </c>
    </row>
    <row r="11" spans="1:4" x14ac:dyDescent="0.25">
      <c r="A11" s="22">
        <v>10</v>
      </c>
      <c r="B11" s="22" t="s">
        <v>88</v>
      </c>
      <c r="C11" s="22" t="s">
        <v>89</v>
      </c>
      <c r="D11" s="22" t="s">
        <v>90</v>
      </c>
    </row>
    <row r="12" spans="1:4" x14ac:dyDescent="0.25">
      <c r="A12" s="22">
        <v>11</v>
      </c>
      <c r="B12" s="22" t="s">
        <v>91</v>
      </c>
      <c r="C12" s="22" t="s">
        <v>92</v>
      </c>
      <c r="D12" s="22" t="s">
        <v>82</v>
      </c>
    </row>
    <row r="13" spans="1:4" x14ac:dyDescent="0.25">
      <c r="A13" s="22">
        <v>12</v>
      </c>
      <c r="B13" s="22" t="s">
        <v>93</v>
      </c>
      <c r="C13" s="22" t="s">
        <v>94</v>
      </c>
      <c r="D13" s="22" t="s">
        <v>95</v>
      </c>
    </row>
    <row r="14" spans="1:4" x14ac:dyDescent="0.25">
      <c r="A14" s="22">
        <v>13</v>
      </c>
      <c r="B14" s="22" t="s">
        <v>96</v>
      </c>
      <c r="C14" s="22" t="s">
        <v>97</v>
      </c>
      <c r="D14" s="22" t="s">
        <v>98</v>
      </c>
    </row>
    <row r="15" spans="1:4" x14ac:dyDescent="0.25">
      <c r="A15" s="22">
        <v>14</v>
      </c>
      <c r="B15" s="22" t="s">
        <v>99</v>
      </c>
      <c r="C15" s="22" t="s">
        <v>100</v>
      </c>
      <c r="D15" s="22" t="s">
        <v>70</v>
      </c>
    </row>
    <row r="16" spans="1:4" x14ac:dyDescent="0.25">
      <c r="A16" s="22">
        <v>15</v>
      </c>
      <c r="B16" s="22" t="s">
        <v>101</v>
      </c>
      <c r="C16" s="22" t="s">
        <v>102</v>
      </c>
      <c r="D16" s="22" t="s">
        <v>98</v>
      </c>
    </row>
    <row r="17" spans="1:4" x14ac:dyDescent="0.25">
      <c r="A17" s="22">
        <v>16</v>
      </c>
      <c r="B17" s="22" t="s">
        <v>103</v>
      </c>
      <c r="C17" s="22" t="s">
        <v>104</v>
      </c>
      <c r="D17" s="22" t="s">
        <v>98</v>
      </c>
    </row>
    <row r="18" spans="1:4" x14ac:dyDescent="0.25">
      <c r="A18" s="22">
        <v>17</v>
      </c>
      <c r="B18" s="22" t="s">
        <v>105</v>
      </c>
      <c r="C18" s="22" t="s">
        <v>106</v>
      </c>
      <c r="D18" s="22" t="s">
        <v>67</v>
      </c>
    </row>
    <row r="19" spans="1:4" x14ac:dyDescent="0.25">
      <c r="A19" s="22">
        <v>18</v>
      </c>
      <c r="B19" s="22" t="s">
        <v>107</v>
      </c>
      <c r="C19" s="22" t="s">
        <v>108</v>
      </c>
      <c r="D19" s="22" t="s">
        <v>82</v>
      </c>
    </row>
    <row r="20" spans="1:4" x14ac:dyDescent="0.25">
      <c r="A20" s="22">
        <v>19</v>
      </c>
      <c r="B20" s="22" t="s">
        <v>109</v>
      </c>
      <c r="C20" s="22" t="s">
        <v>110</v>
      </c>
      <c r="D20" s="22" t="s">
        <v>82</v>
      </c>
    </row>
    <row r="21" spans="1:4" x14ac:dyDescent="0.25">
      <c r="A21" s="22">
        <v>20</v>
      </c>
      <c r="B21" s="22" t="s">
        <v>111</v>
      </c>
      <c r="C21" s="22" t="s">
        <v>112</v>
      </c>
      <c r="D21" s="22"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FOFEM Consumed Emissions Vars</vt:lpstr>
      <vt:lpstr>FOFEM Mortality Vars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cp:lastModifiedBy>Owner</cp:lastModifiedBy>
  <dcterms:created xsi:type="dcterms:W3CDTF">2023-06-28T22:39:45Z</dcterms:created>
  <dcterms:modified xsi:type="dcterms:W3CDTF">2023-07-14T23:35:01Z</dcterms:modified>
</cp:coreProperties>
</file>